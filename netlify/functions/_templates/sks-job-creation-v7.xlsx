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35" yWindow="-16320" windowWidth="29040" windowHeight="16440" tabRatio="600" firstSheet="0" activeTab="1" autoFilterDateGrouping="1"/>
  </bookViews>
  <sheets>
    <sheet name="Job Creation" sheetId="1" state="visible" r:id="rId1"/>
    <sheet name="Budget" sheetId="2" state="visible" r:id="rId2"/>
    <sheet name="Extention Column Tabs" sheetId="3" state="hidden" r:id="rId3"/>
    <sheet name="Data (do not use)" sheetId="4" state="hidden" r:id="rId4"/>
  </sheets>
  <definedNames>
    <definedName name="Client_ID">'Extention Column Tabs'!$A2:$A7</definedName>
    <definedName name="Market_Segment">'Extention Column Tabs'!$B2:$B7</definedName>
    <definedName name="Market_Vertical">'Extention Column Tabs'!$C2:$C20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pivotButton="0" quotePrefix="0" xfId="0"/>
    <xf numFmtId="14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6" fillId="3" borderId="0" pivotButton="0" quotePrefix="0" xfId="0"/>
    <xf numFmtId="1" fontId="0" fillId="0" borderId="0" pivotButton="0" quotePrefix="1" xfId="0"/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/>
    </xf>
    <xf numFmtId="49" fontId="3" fillId="3" borderId="1" applyAlignment="1" pivotButton="0" quotePrefix="0" xfId="0">
      <alignment horizontal="left" vertical="center" wrapText="1"/>
    </xf>
    <xf numFmtId="0" fontId="7" fillId="3" borderId="1" applyAlignment="1" pivotButton="0" quotePrefix="0" xfId="1">
      <alignment horizontal="left" vertical="center" wrapText="1"/>
    </xf>
    <xf numFmtId="0" fontId="0" fillId="3" borderId="0" applyAlignment="1" pivotButton="0" quotePrefix="0" xfId="0">
      <alignment horizontal="left"/>
    </xf>
    <xf numFmtId="0" fontId="8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9" fillId="3" borderId="1" pivotButton="0" quotePrefix="0" xfId="0"/>
    <xf numFmtId="0" fontId="2" fillId="0" borderId="0" pivotButton="0" quotePrefix="0" xfId="0"/>
    <xf numFmtId="0" fontId="0" fillId="3" borderId="2" applyAlignment="1" pivotButton="0" quotePrefix="0" xfId="0">
      <alignment wrapText="1"/>
    </xf>
    <xf numFmtId="0" fontId="10" fillId="3" borderId="0" applyAlignment="1" pivotButton="0" quotePrefix="0" xfId="0">
      <alignment horizontal="left"/>
    </xf>
    <xf numFmtId="14" fontId="7" fillId="3" borderId="1" applyAlignment="1" pivotButton="0" quotePrefix="0" xfId="1">
      <alignment horizontal="left" vertical="center" wrapText="1"/>
    </xf>
    <xf numFmtId="0" fontId="10" fillId="3" borderId="0" applyAlignment="1" pivotButton="0" quotePrefix="0" xfId="0">
      <alignment horizontal="left"/>
    </xf>
    <xf numFmtId="0" fontId="11" fillId="3" borderId="0" applyAlignment="1" pivotButton="0" quotePrefix="0" xfId="0">
      <alignment horizontal="left"/>
    </xf>
    <xf numFmtId="0" fontId="10" fillId="3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20">
    <dxf>
      <fill>
        <patternFill>
          <bgColor rgb="FFFFCCCC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FF99"/>
        </patternFill>
      </fill>
    </dxf>
    <dxf>
      <fill>
        <patternFill>
          <fgColor indexed="64"/>
          <bgColor rgb="FFFF2121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2121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2" workbookViewId="0">
      <selection activeCell="B38" sqref="B37:B38"/>
    </sheetView>
  </sheetViews>
  <sheetFormatPr baseColWidth="8" defaultRowHeight="14.25"/>
  <cols>
    <col width="27.59765625" customWidth="1" min="1" max="1"/>
    <col width="35" bestFit="1" customWidth="1" min="2" max="2"/>
    <col width="64.59765625" bestFit="1" customWidth="1" min="3" max="3"/>
    <col width="23.86328125" bestFit="1" customWidth="1" min="7" max="7"/>
    <col width="12.86328125" bestFit="1" customWidth="1" min="8" max="8"/>
  </cols>
  <sheetData>
    <row r="1">
      <c r="A1" s="3" t="inlineStr">
        <is>
          <t>Workbench Job Creation</t>
        </is>
      </c>
      <c r="B1" s="4" t="n"/>
      <c r="C1" s="4" t="n"/>
    </row>
    <row r="2" ht="15.75" customHeight="1">
      <c r="A2" s="24" t="n"/>
      <c r="B2" s="24" t="n"/>
      <c r="C2" s="24" t="n"/>
    </row>
    <row r="3">
      <c r="A3" s="5" t="inlineStr">
        <is>
          <t>Financial Company</t>
        </is>
      </c>
      <c r="B3" s="19" t="inlineStr">
        <is>
          <t>SKS Technologies Pty Ltd</t>
        </is>
      </c>
      <c r="C3" s="4" t="n"/>
    </row>
    <row r="4">
      <c r="A4" s="6" t="inlineStr">
        <is>
          <t>Job Name:</t>
        </is>
      </c>
      <c r="B4" s="10" t="n"/>
      <c r="C4" s="6" t="n"/>
    </row>
    <row r="5">
      <c r="A5" s="6" t="inlineStr">
        <is>
          <t>Customer Name:</t>
        </is>
      </c>
      <c r="B5" s="10" t="n"/>
      <c r="C5" s="6" t="n"/>
    </row>
    <row r="6">
      <c r="A6" s="6" t="inlineStr">
        <is>
          <t>Job Type</t>
        </is>
      </c>
      <c r="B6" s="11" t="inlineStr">
        <is>
          <t>Electrical/Comms</t>
        </is>
      </c>
      <c r="C6" s="6" t="n"/>
    </row>
    <row r="7">
      <c r="A7" s="6" t="inlineStr">
        <is>
          <t>Project Manager</t>
        </is>
      </c>
      <c r="B7" s="11" t="inlineStr">
        <is>
          <t>Royce Milmlow</t>
        </is>
      </c>
      <c r="C7" s="6" t="n"/>
    </row>
    <row r="8">
      <c r="A8" s="6" t="inlineStr">
        <is>
          <t>Account Manager</t>
        </is>
      </c>
      <c r="B8" s="11" t="inlineStr">
        <is>
          <t>Royce Milmlow</t>
        </is>
      </c>
      <c r="C8" s="6" t="n"/>
    </row>
    <row r="9">
      <c r="A9" s="6" t="inlineStr">
        <is>
          <t>State</t>
        </is>
      </c>
      <c r="B9" s="11" t="inlineStr">
        <is>
          <t>NSW</t>
        </is>
      </c>
      <c r="C9" s="7" t="n"/>
    </row>
    <row r="10">
      <c r="A10" s="6" t="inlineStr">
        <is>
          <t>Billing Type</t>
        </is>
      </c>
      <c r="B10" s="11" t="inlineStr">
        <is>
          <t>Quoted (one off invoice)</t>
        </is>
      </c>
      <c r="C10" s="7" t="n"/>
    </row>
    <row r="11">
      <c r="A11" s="6" t="inlineStr">
        <is>
          <t>Job Value</t>
        </is>
      </c>
      <c r="B11" s="11" t="n"/>
      <c r="C11" s="7" t="n"/>
    </row>
    <row r="12">
      <c r="A12" s="6" t="inlineStr">
        <is>
          <t>PO Number:</t>
        </is>
      </c>
      <c r="B12" s="12" t="n"/>
      <c r="C12" s="5" t="inlineStr">
        <is>
          <t>Please provide PO PDF with job creation form</t>
        </is>
      </c>
    </row>
    <row r="13">
      <c r="A13" s="6" t="inlineStr">
        <is>
          <t>If no PO, please explain why:</t>
        </is>
      </c>
      <c r="B13" s="12" t="n"/>
      <c r="C13" s="4" t="n"/>
    </row>
    <row r="14">
      <c r="A14" s="6" t="inlineStr">
        <is>
          <t>SKS Number:</t>
        </is>
      </c>
      <c r="B14" s="13" t="n"/>
      <c r="C14" s="6" t="n"/>
    </row>
    <row r="15">
      <c r="A15" s="6" t="inlineStr">
        <is>
          <t>Job Group</t>
        </is>
      </c>
      <c r="B15" s="10" t="inlineStr">
        <is>
          <t>Service</t>
        </is>
      </c>
      <c r="C15" s="6" t="n"/>
    </row>
    <row r="16">
      <c r="A16" s="6" t="inlineStr">
        <is>
          <t>Payapps</t>
        </is>
      </c>
      <c r="B16" s="10" t="inlineStr">
        <is>
          <t>NO</t>
        </is>
      </c>
      <c r="C16" s="6" t="n"/>
    </row>
    <row r="17">
      <c r="A17" s="6" t="inlineStr">
        <is>
          <t>Email Address for invoice</t>
        </is>
      </c>
      <c r="B17" s="14" t="n"/>
      <c r="C17" s="6" t="n"/>
    </row>
    <row r="18">
      <c r="A18" s="6" t="inlineStr">
        <is>
          <t>ABN:</t>
        </is>
      </c>
      <c r="B18" s="14" t="n"/>
      <c r="C18" s="6" t="n"/>
    </row>
    <row r="19">
      <c r="A19" s="6" t="inlineStr">
        <is>
          <t>Project Start Date</t>
        </is>
      </c>
      <c r="B19" s="23" t="n"/>
      <c r="C19" s="6" t="n"/>
    </row>
    <row r="20">
      <c r="A20" s="6" t="inlineStr">
        <is>
          <t>Retention under $200K</t>
        </is>
      </c>
      <c r="B20" s="12" t="inlineStr">
        <is>
          <t>No Retention</t>
        </is>
      </c>
      <c r="C20" s="4" t="n"/>
    </row>
    <row r="21">
      <c r="A21" s="5" t="inlineStr">
        <is>
          <t>Retention % (if available)</t>
        </is>
      </c>
      <c r="B21" s="12" t="n"/>
      <c r="C21" s="4" t="n"/>
    </row>
    <row r="22">
      <c r="A22" s="5" t="inlineStr">
        <is>
          <t>Bank Garantees over $200K</t>
        </is>
      </c>
      <c r="B22" s="12" t="inlineStr">
        <is>
          <t>No BG Required</t>
        </is>
      </c>
      <c r="C22" s="4" t="inlineStr">
        <is>
          <t>Select option from drop down box</t>
        </is>
      </c>
    </row>
    <row r="23">
      <c r="A23" s="5" t="n"/>
      <c r="B23" s="15" t="n"/>
      <c r="C23" s="4" t="n"/>
    </row>
    <row r="24">
      <c r="A24" s="8" t="n"/>
      <c r="B24" s="15" t="n"/>
      <c r="C24" s="4" t="n"/>
    </row>
    <row r="25" ht="15.75" customHeight="1">
      <c r="A25" s="24" t="inlineStr">
        <is>
          <t>After Job Creation: Please enter the following into the "Extension Columns Tab" this is a mandatory field</t>
        </is>
      </c>
    </row>
    <row r="26" ht="15.75" customHeight="1">
      <c r="A26" s="24" t="n"/>
      <c r="B26" s="24" t="n"/>
      <c r="C26" s="24" t="n"/>
    </row>
    <row r="27">
      <c r="A27" s="5" t="inlineStr">
        <is>
          <t>Client ID:</t>
        </is>
      </c>
      <c r="B27" s="12" t="inlineStr">
        <is>
          <t>End User</t>
        </is>
      </c>
      <c r="C27" s="4" t="n"/>
    </row>
    <row r="28">
      <c r="A28" s="5" t="inlineStr">
        <is>
          <t>Market Segment:</t>
        </is>
      </c>
      <c r="B28" s="12" t="inlineStr">
        <is>
          <t>Service/Maintenance</t>
        </is>
      </c>
      <c r="C28" s="4" t="n"/>
    </row>
    <row r="29">
      <c r="A29" s="5" t="inlineStr">
        <is>
          <t>Market Vertical:</t>
        </is>
      </c>
      <c r="B29" s="12" t="n"/>
      <c r="C29" s="4" t="n"/>
    </row>
    <row r="30" ht="15" customHeight="1">
      <c r="A30" s="5" t="inlineStr">
        <is>
          <t>End Client:</t>
        </is>
      </c>
      <c r="B30" s="12" t="n"/>
      <c r="C30" s="21" t="inlineStr">
        <is>
          <t>Eg: Builders like Shape, Built, Buildcorp may not be the true End Client</t>
        </is>
      </c>
    </row>
    <row r="31" ht="15.75" customHeight="1">
      <c r="A31" s="24" t="n"/>
      <c r="B31" s="24" t="n"/>
      <c r="C31" s="24" t="n"/>
    </row>
    <row r="32" ht="15.75" customHeight="1">
      <c r="A32" s="25" t="inlineStr">
        <is>
          <t>**Please complete budget on next tab**</t>
        </is>
      </c>
    </row>
    <row r="33" ht="15.75" customHeight="1">
      <c r="A33" s="26" t="n"/>
    </row>
    <row r="68">
      <c r="A68" s="16" t="n"/>
    </row>
    <row r="69">
      <c r="A69" s="16" t="n"/>
    </row>
  </sheetData>
  <mergeCells count="3">
    <mergeCell ref="A25:C25"/>
    <mergeCell ref="A32:C32"/>
    <mergeCell ref="A33:C33"/>
  </mergeCells>
  <dataValidations count="2">
    <dataValidation sqref="B22:B24" showDropDown="0" showInputMessage="1" showErrorMessage="1" allowBlank="1" type="list">
      <formula1>"No BG Required, Request a BG from Accounts"</formula1>
    </dataValidation>
    <dataValidation sqref="B3" showDropDown="0" showInputMessage="1" showErrorMessage="1" allowBlank="1" type="list">
      <formula1>"SKS Technologies Pty Ltd, SKS Indigenous Technologies Pty Ltd, 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K4" sqref="K4"/>
    </sheetView>
  </sheetViews>
  <sheetFormatPr baseColWidth="8" defaultRowHeight="14.25"/>
  <cols>
    <col width="13.265625" bestFit="1" customWidth="1" min="1" max="1"/>
    <col width="10" customWidth="1" min="2" max="3"/>
    <col width="15.59765625" customWidth="1" min="4" max="5"/>
    <col width="8" bestFit="1" customWidth="1" min="6" max="6"/>
    <col width="32" customWidth="1" min="7" max="8"/>
    <col width="10.265625" customWidth="1" min="9" max="11"/>
    <col width="32" customWidth="1" min="12" max="12"/>
    <col width="10.86328125" customWidth="1" min="13" max="14"/>
    <col width="10" bestFit="1" customWidth="1" min="16" max="16"/>
    <col width="20.265625" bestFit="1" customWidth="1" min="17" max="17"/>
  </cols>
  <sheetData>
    <row r="1" ht="24" customHeight="1">
      <c r="A1" s="2" t="inlineStr">
        <is>
          <t>Job Code 
(*text 20)</t>
        </is>
      </c>
      <c r="B1" s="2" t="inlineStr">
        <is>
          <t>Year No 
(number)</t>
        </is>
      </c>
      <c r="C1" s="2" t="inlineStr">
        <is>
          <t>Period No 
(number)</t>
        </is>
      </c>
      <c r="D1" s="2" t="inlineStr">
        <is>
          <t>Activity Code 
(*text 10)</t>
        </is>
      </c>
      <c r="E1" s="2" t="inlineStr">
        <is>
          <t>Work Centre Code 
(text 10)</t>
        </is>
      </c>
      <c r="F1" s="2" t="inlineStr">
        <is>
          <t>Unit 
(text 10)</t>
        </is>
      </c>
      <c r="G1" s="2" t="inlineStr">
        <is>
          <t>Description 
(text 50)</t>
        </is>
      </c>
      <c r="H1" s="2" t="inlineStr">
        <is>
          <t>Details 
(text 2000)</t>
        </is>
      </c>
      <c r="I1" s="2" t="inlineStr">
        <is>
          <t>Cost 
(*number)</t>
        </is>
      </c>
      <c r="J1" s="2" t="inlineStr">
        <is>
          <t>Quantity 
(*number)</t>
        </is>
      </c>
      <c r="K1" s="2" t="inlineStr">
        <is>
          <t>FC Retail 
(*number)</t>
        </is>
      </c>
    </row>
    <row r="2">
      <c r="A2" s="9" t="n"/>
      <c r="D2" t="inlineStr">
        <is>
          <t>REV</t>
        </is>
      </c>
      <c r="I2">
        <f>'Job Creation'!B11</f>
        <v/>
      </c>
      <c r="J2" t="n">
        <v>1</v>
      </c>
      <c r="K2">
        <f>J2*I2</f>
        <v/>
      </c>
      <c r="N2" s="1" t="n"/>
    </row>
    <row r="3">
      <c r="A3" s="9" t="n"/>
      <c r="D3" t="inlineStr">
        <is>
          <t>MAT</t>
        </is>
      </c>
      <c r="I3">
        <f>I2/1.1</f>
        <v/>
      </c>
      <c r="J3" t="n">
        <v>1</v>
      </c>
      <c r="K3">
        <f>I3*J3</f>
        <v/>
      </c>
    </row>
    <row r="4">
      <c r="A4" s="9" t="n"/>
      <c r="D4" t="inlineStr">
        <is>
          <t>SLAB</t>
        </is>
      </c>
    </row>
    <row r="5">
      <c r="A5" s="9" t="n"/>
      <c r="D5" t="inlineStr">
        <is>
          <t>PMLAB</t>
        </is>
      </c>
      <c r="I5" t="n">
        <v>0</v>
      </c>
      <c r="J5" t="n">
        <v>0</v>
      </c>
    </row>
    <row r="6">
      <c r="A6" s="9" t="n"/>
      <c r="D6" t="inlineStr">
        <is>
          <t>COMM</t>
        </is>
      </c>
      <c r="I6" t="n">
        <v>0</v>
      </c>
      <c r="J6" t="n">
        <v>0</v>
      </c>
    </row>
    <row r="7">
      <c r="A7" s="9" t="n"/>
      <c r="D7" t="inlineStr">
        <is>
          <t>PROG</t>
        </is>
      </c>
      <c r="I7" t="n">
        <v>0</v>
      </c>
      <c r="J7" t="n">
        <v>0</v>
      </c>
    </row>
    <row r="8">
      <c r="A8" s="9" t="n"/>
      <c r="D8" t="inlineStr">
        <is>
          <t>ENGI</t>
        </is>
      </c>
      <c r="I8" t="n">
        <v>0</v>
      </c>
      <c r="J8" t="n">
        <v>0</v>
      </c>
    </row>
    <row r="9">
      <c r="A9" s="9" t="n"/>
      <c r="B9" s="18" t="n"/>
      <c r="C9" s="18" t="n"/>
      <c r="D9" s="17" t="inlineStr">
        <is>
          <t>EQPTHIRE</t>
        </is>
      </c>
      <c r="E9" s="17" t="n"/>
      <c r="F9" s="17" t="n"/>
      <c r="G9" s="17" t="n"/>
      <c r="H9" s="17" t="n"/>
      <c r="I9" t="n">
        <v>0</v>
      </c>
      <c r="J9" t="n">
        <v>0</v>
      </c>
    </row>
    <row r="10">
      <c r="A10" s="9" t="n"/>
      <c r="B10" s="18" t="n"/>
      <c r="C10" s="18" t="n"/>
      <c r="D10" s="17" t="inlineStr">
        <is>
          <t>LABH</t>
        </is>
      </c>
      <c r="E10" s="17" t="n"/>
      <c r="F10" s="17" t="n"/>
      <c r="G10" s="17" t="n"/>
      <c r="H10" s="17" t="n"/>
      <c r="I10" t="n">
        <v>0</v>
      </c>
      <c r="J10" t="n">
        <v>0</v>
      </c>
    </row>
    <row r="11">
      <c r="A11" s="9" t="n"/>
      <c r="B11" s="18" t="n"/>
      <c r="C11" s="18" t="n"/>
      <c r="D11" s="17" t="inlineStr">
        <is>
          <t>SUBC</t>
        </is>
      </c>
      <c r="E11" s="17" t="n"/>
      <c r="F11" s="17" t="n"/>
      <c r="G11" s="17" t="n"/>
      <c r="H11" s="17" t="n"/>
      <c r="I11" t="n">
        <v>0</v>
      </c>
      <c r="J11" t="n">
        <v>0</v>
      </c>
    </row>
    <row r="12">
      <c r="A12" s="9" t="n"/>
      <c r="B12" s="18" t="n"/>
      <c r="C12" s="18" t="n"/>
      <c r="D12" s="17" t="inlineStr">
        <is>
          <t>SUBS</t>
        </is>
      </c>
      <c r="E12" s="17" t="n"/>
      <c r="F12" s="17" t="n"/>
      <c r="G12" s="17" t="n"/>
      <c r="H12" s="17" t="n"/>
      <c r="I12" t="n">
        <v>0</v>
      </c>
      <c r="J12" t="n">
        <v>0</v>
      </c>
    </row>
  </sheetData>
  <conditionalFormatting sqref="A2:K4 A5:H8 A9:A12 A13:K99875 I5:K12">
    <cfRule type="expression" priority="16" dxfId="4">
      <formula>IF(IFERROR(LEN(A2)&gt;VALUE(SUBSTITUTE(RIGHT(A$1,LEN(A$1)-FIND(" ",A$1,LEN(A$1)-6)),")","")),FALSE),TRUE,FALSE)</formula>
    </cfRule>
    <cfRule type="expression" priority="17" dxfId="1">
      <formula>IF(AND(LEN(A2)&gt;0,NOT(AND(ISNUMBER(A2),LEFT(CELL("format",A2),1)="D")),IFERROR(FIND("date",A$1),0) &lt;&gt; 0),TRUE,FALSE)</formula>
    </cfRule>
    <cfRule type="expression" priority="23" dxfId="1">
      <formula>IF(AND(LEN(A2)&gt;0,NOT(ISNUMBER(A2)),IFERROR(FIND("number",A$1),0) &lt;&gt; 0),TRUE,FALSE)</formula>
    </cfRule>
    <cfRule type="expression" priority="24" dxfId="1">
      <formula>IF(OR(AND(IFERROR(INT(A2),1) &lt;&gt;A2,LEN(A2)&gt;0,IFERROR(FIND("integer",A$1),0) &lt;&gt; 0), AND(LEN(A2)&gt;0,LEFT(CELL("format",A2),1)&lt;&gt;"G",IFERROR(FIND("integer",A$1),0) &lt;&gt; 0)),TRUE,FALSE)</formula>
    </cfRule>
    <cfRule type="expression" priority="26" dxfId="0">
      <formula>IF(AND(LEN(A2)=0,IFERROR(FIND("(*",A$1),0) &lt;&gt; 0,LEN(CONCATENATE($A2,$B2,$C2,$D2,$E2,$F2,$G2,$H2,$I2,$J2,$K2))&gt;0),TRUE,FALSE)</formula>
    </cfRule>
  </conditionalFormatting>
  <conditionalFormatting sqref="B12:C12 E12:H12">
    <cfRule type="expression" priority="6" dxfId="9">
      <formula>IF(ROW()=1,FALSE,IF(OR(AND(IFERROR(INT(B12),1) &lt;&gt;B12,LEN(B12)&gt;0,IFERROR(FIND("integer",B$1),0) &lt;&gt; 0), AND(LEN(B12)&gt;0,CELL("format",B12)&lt;&gt;"F0",IFERROR(FIND("integer",B$1),0) &lt;&gt; 0)),TRUE,FALSE))</formula>
    </cfRule>
    <cfRule type="expression" priority="7" dxfId="8">
      <formula>IF(ROW()=1,FALSE,IF(AND(LEN(B12)&gt;0,NOT(ISNUMBER(B12)),IFERROR(FIND("number",B$1),0) &lt;&gt; 0),TRUE,FALSE))</formula>
    </cfRule>
    <cfRule type="expression" priority="8" dxfId="7">
      <formula>IF(ROW()=1,FALSE,IF(AND(LEN(B12)&gt;0,NOT(AND(ISNUMBER(B12),LEFT(CELL("format",B12),1)="D")),IFERROR(FIND("date",B$1),0) &lt;&gt; 0),TRUE,FALSE))</formula>
    </cfRule>
    <cfRule type="expression" priority="9" dxfId="6">
      <formula>IF(ROW()=1,FALSE,IF(IFERROR(LEN(B12)&gt;VALUE(SUBSTITUTE(RIGHT(B$1,LEN(B$1)-FIND(" ",B$1,LEN(B$1)-6)),")","")),FALSE),TRUE,FALSE))</formula>
    </cfRule>
    <cfRule type="expression" priority="10" dxfId="5">
      <formula>IF(ROW()=1,FALSE,IF(AND(LEN(B12)=0,IFERROR(FIND("(*",B$1),0) &lt;&gt; 0,LEN(CONCATENATE($A12,$B12,$C12,$D12,$E12,$F12,$G12,$H12,$I12,$J12,$K12))&gt;0),TRUE,FALSE))</formula>
    </cfRule>
  </conditionalFormatting>
  <conditionalFormatting sqref="B9:H11">
    <cfRule type="expression" priority="11" dxfId="9">
      <formula>IF(ROW()=1,FALSE,IF(OR(AND(IFERROR(INT(B9),1) &lt;&gt;B9,LEN(B9)&gt;0,IFERROR(FIND("integer",B$1),0) &lt;&gt; 0), AND(LEN(B9)&gt;0,CELL("format",B9)&lt;&gt;"F0",IFERROR(FIND("integer",B$1),0) &lt;&gt; 0)),TRUE,FALSE))</formula>
    </cfRule>
    <cfRule type="expression" priority="12" dxfId="8">
      <formula>IF(ROW()=1,FALSE,IF(AND(LEN(B9)&gt;0,NOT(ISNUMBER(B9)),IFERROR(FIND("number",B$1),0) &lt;&gt; 0),TRUE,FALSE))</formula>
    </cfRule>
    <cfRule type="expression" priority="13" dxfId="7">
      <formula>IF(ROW()=1,FALSE,IF(AND(LEN(B9)&gt;0,NOT(AND(ISNUMBER(B9),LEFT(CELL("format",B9),1)="D")),IFERROR(FIND("date",B$1),0) &lt;&gt; 0),TRUE,FALSE))</formula>
    </cfRule>
    <cfRule type="expression" priority="14" dxfId="6">
      <formula>IF(ROW()=1,FALSE,IF(IFERROR(LEN(B9)&gt;VALUE(SUBSTITUTE(RIGHT(B$1,LEN(B$1)-FIND(" ",B$1,LEN(B$1)-6)),")","")),FALSE),TRUE,FALSE))</formula>
    </cfRule>
    <cfRule type="expression" priority="15" dxfId="5">
      <formula>IF(ROW()=1,FALSE,IF(AND(LEN(B9)=0,IFERROR(FIND("(*",B$1),0) &lt;&gt; 0,LEN(CONCATENATE($A9,$B9,$C9,$D9,$E9,$F9,$G9,$H9,$I9,$J9,$K9))&gt;0),TRUE,FALSE))</formula>
    </cfRule>
  </conditionalFormatting>
  <conditionalFormatting sqref="D12">
    <cfRule type="expression" priority="1" dxfId="4">
      <formula>IF(IFERROR(LEN(D12)&gt;VALUE(SUBSTITUTE(RIGHT(D$1,LEN(D$1)-FIND(" ",D$1,LEN(D$1)-6)),")","")),FALSE),TRUE,FALSE)</formula>
    </cfRule>
    <cfRule type="expression" priority="2" dxfId="1">
      <formula>IF(AND(LEN(D12)&gt;0,NOT(AND(ISNUMBER(D12),LEFT(CELL("format",D12),1)="D")),IFERROR(FIND("date",D$1),0) &lt;&gt; 0),TRUE,FALSE)</formula>
    </cfRule>
    <cfRule type="expression" priority="3" dxfId="1">
      <formula>IF(AND(LEN(D12)&gt;0,NOT(ISNUMBER(D12)),IFERROR(FIND("number",D$1),0) &lt;&gt; 0),TRUE,FALSE)</formula>
    </cfRule>
    <cfRule type="expression" priority="4" dxfId="1">
      <formula>IF(OR(AND(IFERROR(INT(D12),1) &lt;&gt;D12,LEN(D12)&gt;0,IFERROR(FIND("integer",D$1),0) &lt;&gt; 0), AND(LEN(D12)&gt;0,LEFT(CELL("format",D12),1)&lt;&gt;"G",IFERROR(FIND("integer",D$1),0) &lt;&gt; 0)),TRUE,FALSE)</formula>
    </cfRule>
    <cfRule type="expression" priority="5" dxfId="0">
      <formula>IF(AND(LEN(D12)=0,IFERROR(FIND("(*",D$1),0) &lt;&gt; 0,LEN(CONCATENATE($A12,$B12,$C12,$D12,$E12,$F12,$G12,$H12,$I12,$J12,$K12))&gt;0),TRUE,FALSE)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35" sqref="A35:A40"/>
    </sheetView>
  </sheetViews>
  <sheetFormatPr baseColWidth="8" defaultRowHeight="14.25"/>
  <cols>
    <col width="20.73046875" bestFit="1" customWidth="1" min="1" max="1"/>
    <col width="21.59765625" bestFit="1" customWidth="1" min="2" max="2"/>
    <col width="22.86328125" bestFit="1" customWidth="1" min="3" max="3"/>
  </cols>
  <sheetData>
    <row r="1">
      <c r="A1" s="20" t="inlineStr">
        <is>
          <t>Client ID</t>
        </is>
      </c>
      <c r="B1" s="20" t="inlineStr">
        <is>
          <t>Market Segment</t>
        </is>
      </c>
      <c r="C1" s="20" t="inlineStr">
        <is>
          <t>Market Vertical</t>
        </is>
      </c>
    </row>
    <row r="2">
      <c r="A2" t="inlineStr">
        <is>
          <t>Builder</t>
        </is>
      </c>
      <c r="B2" t="inlineStr">
        <is>
          <t>Construction</t>
        </is>
      </c>
      <c r="C2" t="inlineStr">
        <is>
          <t>Aged Care</t>
        </is>
      </c>
    </row>
    <row r="3">
      <c r="A3" t="inlineStr">
        <is>
          <t>End User</t>
        </is>
      </c>
      <c r="B3" t="inlineStr">
        <is>
          <t>Design</t>
        </is>
      </c>
      <c r="C3" t="inlineStr">
        <is>
          <t>Airports</t>
        </is>
      </c>
    </row>
    <row r="4">
      <c r="A4" t="inlineStr">
        <is>
          <t>Consultant</t>
        </is>
      </c>
      <c r="B4" t="inlineStr">
        <is>
          <t>Fit Out/Refurbishment</t>
        </is>
      </c>
      <c r="C4" t="inlineStr">
        <is>
          <t>Education</t>
        </is>
      </c>
    </row>
    <row r="5">
      <c r="A5" t="inlineStr">
        <is>
          <t>Facility Manager</t>
        </is>
      </c>
      <c r="B5" t="inlineStr">
        <is>
          <t>Industrial</t>
        </is>
      </c>
      <c r="C5" t="inlineStr">
        <is>
          <t>Defence</t>
        </is>
      </c>
    </row>
    <row r="6">
      <c r="A6" t="inlineStr">
        <is>
          <t>Contractor</t>
        </is>
      </c>
      <c r="B6" t="inlineStr">
        <is>
          <t>Service/Maintenance</t>
        </is>
      </c>
      <c r="C6" t="inlineStr">
        <is>
          <t>Corporate</t>
        </is>
      </c>
    </row>
    <row r="7">
      <c r="A7" t="inlineStr">
        <is>
          <t>Technology Integrator</t>
        </is>
      </c>
      <c r="B7" t="inlineStr">
        <is>
          <t>Supply Only</t>
        </is>
      </c>
      <c r="C7" t="inlineStr">
        <is>
          <t>Data Centres</t>
        </is>
      </c>
    </row>
    <row r="8">
      <c r="C8" t="inlineStr">
        <is>
          <t>Finance &amp; Banking</t>
        </is>
      </c>
    </row>
    <row r="9">
      <c r="C9" t="inlineStr">
        <is>
          <t>Government</t>
        </is>
      </c>
    </row>
    <row r="10">
      <c r="C10" t="inlineStr">
        <is>
          <t>Healthcare</t>
        </is>
      </c>
    </row>
    <row r="11">
      <c r="C11" t="inlineStr">
        <is>
          <t>Hospitality</t>
        </is>
      </c>
    </row>
    <row r="12">
      <c r="C12" t="inlineStr">
        <is>
          <t>Logistics &amp; Warehousing</t>
        </is>
      </c>
    </row>
    <row r="13">
      <c r="C13" t="inlineStr">
        <is>
          <t>Manufacturing</t>
        </is>
      </c>
    </row>
    <row r="14">
      <c r="C14" t="inlineStr">
        <is>
          <t>Mining &amp; Resources</t>
        </is>
      </c>
    </row>
    <row r="15">
      <c r="C15" t="inlineStr">
        <is>
          <t>Rail and Transport</t>
        </is>
      </c>
    </row>
    <row r="16">
      <c r="C16" t="inlineStr">
        <is>
          <t>Retail</t>
        </is>
      </c>
    </row>
    <row r="17">
      <c r="C17" t="inlineStr">
        <is>
          <t>Smart Buildings</t>
        </is>
      </c>
    </row>
    <row r="18">
      <c r="C18" t="inlineStr">
        <is>
          <t>Sports &amp; Entertainment</t>
        </is>
      </c>
    </row>
    <row r="19">
      <c r="C19" t="inlineStr">
        <is>
          <t>Technology</t>
        </is>
      </c>
    </row>
    <row r="20">
      <c r="C20" t="inlineStr">
        <is>
          <t>Utilities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6" sqref="A26"/>
    </sheetView>
  </sheetViews>
  <sheetFormatPr baseColWidth="8" defaultRowHeight="14.25"/>
  <sheetData>
    <row r="1">
      <c r="A1" t="inlineStr">
        <is>
          <t>Audiovisual</t>
        </is>
      </c>
    </row>
    <row r="2">
      <c r="A2" t="inlineStr">
        <is>
          <t>Electrical/Comms</t>
        </is>
      </c>
    </row>
    <row r="4">
      <c r="A4" t="inlineStr">
        <is>
          <t>Project</t>
        </is>
      </c>
    </row>
    <row r="5">
      <c r="A5" t="inlineStr">
        <is>
          <t>Service</t>
        </is>
      </c>
    </row>
    <row r="6">
      <c r="A6" t="inlineStr">
        <is>
          <t>Maintenance</t>
        </is>
      </c>
    </row>
    <row r="8">
      <c r="A8" t="inlineStr">
        <is>
          <t>VIC</t>
        </is>
      </c>
    </row>
    <row r="9">
      <c r="A9" t="inlineStr">
        <is>
          <t>NSW</t>
        </is>
      </c>
    </row>
    <row r="10">
      <c r="A10" t="inlineStr">
        <is>
          <t>SA</t>
        </is>
      </c>
    </row>
    <row r="11">
      <c r="A11" t="inlineStr">
        <is>
          <t>WA</t>
        </is>
      </c>
    </row>
    <row r="12">
      <c r="A12" t="inlineStr">
        <is>
          <t>QLD</t>
        </is>
      </c>
    </row>
    <row r="13">
      <c r="A13" t="inlineStr">
        <is>
          <t>NT</t>
        </is>
      </c>
    </row>
    <row r="14">
      <c r="A14" t="inlineStr">
        <is>
          <t>ACT</t>
        </is>
      </c>
    </row>
    <row r="15">
      <c r="A15" t="inlineStr">
        <is>
          <t>TAS</t>
        </is>
      </c>
    </row>
    <row r="17">
      <c r="A17" t="inlineStr">
        <is>
          <t>Claim Schedule</t>
        </is>
      </c>
    </row>
    <row r="18">
      <c r="A18" t="inlineStr">
        <is>
          <t>Quoted (one off invoice)</t>
        </is>
      </c>
    </row>
    <row r="20">
      <c r="A20" t="inlineStr">
        <is>
          <t>No Retention</t>
        </is>
      </c>
    </row>
    <row r="21">
      <c r="A21" t="inlineStr">
        <is>
          <t>Retention</t>
        </is>
      </c>
    </row>
    <row r="24">
      <c r="A24" t="inlineStr">
        <is>
          <t>YES</t>
        </is>
      </c>
    </row>
    <row r="25">
      <c r="A2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Nelson Leong</dc:creator>
  <dcterms:created xsi:type="dcterms:W3CDTF">2017-05-07T23:51:45Z</dcterms:created>
  <dcterms:modified xsi:type="dcterms:W3CDTF">2026-05-21T08:49:08Z</dcterms:modified>
  <cp:lastModifiedBy>Royce Milmlow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0x0101000FAD9006FD47CE4D95752D3912A7884A</vt:lpwstr>
  </property>
  <property name="Order" fmtid="{D5CDD505-2E9C-101B-9397-08002B2CF9AE}" pid="3">
    <vt:r8>3200</vt:r8>
  </property>
  <property name="MSIP_Label_ac581deb-1eed-47f8-b50f-910765d0beb6_Enabled" fmtid="{D5CDD505-2E9C-101B-9397-08002B2CF9AE}" pid="4">
    <vt:lpwstr>true</vt:lpwstr>
  </property>
  <property name="MSIP_Label_ac581deb-1eed-47f8-b50f-910765d0beb6_SetDate" fmtid="{D5CDD505-2E9C-101B-9397-08002B2CF9AE}" pid="5">
    <vt:lpwstr>2025-02-18T00:47:54Z</vt:lpwstr>
  </property>
  <property name="MSIP_Label_ac581deb-1eed-47f8-b50f-910765d0beb6_Method" fmtid="{D5CDD505-2E9C-101B-9397-08002B2CF9AE}" pid="6">
    <vt:lpwstr>Standard</vt:lpwstr>
  </property>
  <property name="MSIP_Label_ac581deb-1eed-47f8-b50f-910765d0beb6_Name" fmtid="{D5CDD505-2E9C-101B-9397-08002B2CF9AE}" pid="7">
    <vt:lpwstr>defa4170-0d19-0005-0004-bc88714345d2</vt:lpwstr>
  </property>
  <property name="MSIP_Label_ac581deb-1eed-47f8-b50f-910765d0beb6_SiteId" fmtid="{D5CDD505-2E9C-101B-9397-08002B2CF9AE}" pid="8">
    <vt:lpwstr>149b09ef-e980-43c7-b6c7-17df760f6426</vt:lpwstr>
  </property>
  <property name="MSIP_Label_ac581deb-1eed-47f8-b50f-910765d0beb6_ActionId" fmtid="{D5CDD505-2E9C-101B-9397-08002B2CF9AE}" pid="9">
    <vt:lpwstr>47444697-7b98-4788-9831-362c94043d6e</vt:lpwstr>
  </property>
  <property name="MSIP_Label_ac581deb-1eed-47f8-b50f-910765d0beb6_ContentBits" fmtid="{D5CDD505-2E9C-101B-9397-08002B2CF9AE}" pid="10">
    <vt:lpwstr>0</vt:lpwstr>
  </property>
  <property name="MediaServiceImageTags" fmtid="{D5CDD505-2E9C-101B-9397-08002B2CF9AE}" pid="11">
    <vt:lpwstr/>
  </property>
  <property name="ComplianceAssetId" fmtid="{D5CDD505-2E9C-101B-9397-08002B2CF9AE}" pid="12">
    <vt:lpwstr/>
  </property>
  <property name="_ExtendedDescription" fmtid="{D5CDD505-2E9C-101B-9397-08002B2CF9AE}" pid="13">
    <vt:lpwstr/>
  </property>
  <property name="TriggerFlowInfo" fmtid="{D5CDD505-2E9C-101B-9397-08002B2CF9AE}" pid="14">
    <vt:lpwstr/>
  </property>
</Properties>
</file>